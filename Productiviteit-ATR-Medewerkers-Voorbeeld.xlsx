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vite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Medewerker</t>
        </is>
      </c>
      <c r="B1" t="inlineStr">
        <is>
          <t>Contracturen</t>
        </is>
      </c>
      <c r="C1" t="inlineStr">
        <is>
          <t>Week 1</t>
        </is>
      </c>
      <c r="D1" t="inlineStr">
        <is>
          <t>Week 2</t>
        </is>
      </c>
      <c r="E1" t="inlineStr">
        <is>
          <t>Week 3</t>
        </is>
      </c>
      <c r="F1" t="inlineStr">
        <is>
          <t>Week 4</t>
        </is>
      </c>
      <c r="G1" t="inlineStr">
        <is>
          <t>Week 5</t>
        </is>
      </c>
      <c r="H1" t="inlineStr">
        <is>
          <t>Week 6</t>
        </is>
      </c>
      <c r="I1" t="inlineStr">
        <is>
          <t>Week 7</t>
        </is>
      </c>
      <c r="J1" t="inlineStr">
        <is>
          <t>Week 8</t>
        </is>
      </c>
      <c r="K1" t="inlineStr">
        <is>
          <t>Week 9</t>
        </is>
      </c>
      <c r="L1" t="inlineStr">
        <is>
          <t>Week 10</t>
        </is>
      </c>
      <c r="M1" t="inlineStr">
        <is>
          <t>Week 11</t>
        </is>
      </c>
      <c r="N1" t="inlineStr">
        <is>
          <t>Week 12</t>
        </is>
      </c>
      <c r="O1" t="inlineStr">
        <is>
          <t>Week 13</t>
        </is>
      </c>
      <c r="P1" t="inlineStr">
        <is>
          <t>Week 14</t>
        </is>
      </c>
      <c r="Q1" t="inlineStr">
        <is>
          <t>Week 15</t>
        </is>
      </c>
      <c r="R1" t="inlineStr">
        <is>
          <t>Week 16</t>
        </is>
      </c>
      <c r="S1" t="inlineStr">
        <is>
          <t>Week 17</t>
        </is>
      </c>
      <c r="T1" t="inlineStr">
        <is>
          <t>Week 18</t>
        </is>
      </c>
      <c r="U1" t="inlineStr">
        <is>
          <t>Week 19</t>
        </is>
      </c>
      <c r="V1" t="inlineStr">
        <is>
          <t>Week 20</t>
        </is>
      </c>
      <c r="W1" t="inlineStr">
        <is>
          <t>Week 21</t>
        </is>
      </c>
      <c r="X1" t="inlineStr">
        <is>
          <t>Week 22</t>
        </is>
      </c>
      <c r="Y1" t="inlineStr">
        <is>
          <t>Week 23</t>
        </is>
      </c>
      <c r="Z1" t="inlineStr">
        <is>
          <t>Week 24</t>
        </is>
      </c>
      <c r="AA1" t="inlineStr">
        <is>
          <t>Week 25</t>
        </is>
      </c>
      <c r="AB1" t="inlineStr">
        <is>
          <t>Week 26</t>
        </is>
      </c>
      <c r="AC1" t="inlineStr">
        <is>
          <t>Week 27</t>
        </is>
      </c>
      <c r="AD1" t="inlineStr">
        <is>
          <t>Week 28</t>
        </is>
      </c>
      <c r="AE1" t="inlineStr">
        <is>
          <t>Week 29</t>
        </is>
      </c>
      <c r="AF1" t="inlineStr">
        <is>
          <t>Week 30</t>
        </is>
      </c>
      <c r="AG1" t="inlineStr">
        <is>
          <t>Week 31</t>
        </is>
      </c>
      <c r="AH1" t="inlineStr">
        <is>
          <t>Week 32</t>
        </is>
      </c>
      <c r="AI1" t="inlineStr">
        <is>
          <t>Week 33</t>
        </is>
      </c>
      <c r="AJ1" t="inlineStr">
        <is>
          <t>Week 34</t>
        </is>
      </c>
      <c r="AK1" t="inlineStr">
        <is>
          <t>Week 35</t>
        </is>
      </c>
      <c r="AL1" t="inlineStr">
        <is>
          <t>Week 36</t>
        </is>
      </c>
      <c r="AM1" t="inlineStr">
        <is>
          <t>Week 37</t>
        </is>
      </c>
      <c r="AN1" t="inlineStr">
        <is>
          <t>Week 38</t>
        </is>
      </c>
      <c r="AO1" t="inlineStr">
        <is>
          <t>Week 39</t>
        </is>
      </c>
      <c r="AP1" t="inlineStr">
        <is>
          <t>Week 40</t>
        </is>
      </c>
      <c r="AQ1" t="inlineStr">
        <is>
          <t>Week 41</t>
        </is>
      </c>
      <c r="AR1" t="inlineStr">
        <is>
          <t>Week 42</t>
        </is>
      </c>
      <c r="AS1" t="inlineStr">
        <is>
          <t>Week 43</t>
        </is>
      </c>
      <c r="AT1" t="inlineStr">
        <is>
          <t>Week 44</t>
        </is>
      </c>
      <c r="AU1" t="inlineStr">
        <is>
          <t>Week 45</t>
        </is>
      </c>
      <c r="AV1" t="inlineStr">
        <is>
          <t>Week 46</t>
        </is>
      </c>
      <c r="AW1" t="inlineStr">
        <is>
          <t>Week 47</t>
        </is>
      </c>
      <c r="AX1" t="inlineStr">
        <is>
          <t>Week 48</t>
        </is>
      </c>
      <c r="AY1" t="inlineStr">
        <is>
          <t>Week 49</t>
        </is>
      </c>
      <c r="AZ1" t="inlineStr">
        <is>
          <t>Week 50</t>
        </is>
      </c>
      <c r="BA1" t="inlineStr">
        <is>
          <t>Week 51</t>
        </is>
      </c>
      <c r="BB1" t="inlineStr">
        <is>
          <t>Week 52</t>
        </is>
      </c>
    </row>
    <row r="2">
      <c r="A2" t="inlineStr">
        <is>
          <t>Mevr. R. Landsmark</t>
        </is>
      </c>
      <c r="B2" t="n">
        <v>36</v>
      </c>
      <c r="C2" s="1">
        <f>0/$B2</f>
        <v/>
      </c>
      <c r="D2" s="1">
        <f>16.25/$B2</f>
        <v/>
      </c>
      <c r="E2" s="1">
        <f>11.08/$B2</f>
        <v/>
      </c>
      <c r="F2" s="1">
        <f>15.92/$B2</f>
        <v/>
      </c>
      <c r="G2" s="1">
        <f>15.0/$B2</f>
        <v/>
      </c>
      <c r="H2" s="1">
        <f>10.0/$B2</f>
        <v/>
      </c>
      <c r="I2" s="1">
        <f>15.25/$B2</f>
        <v/>
      </c>
      <c r="J2" s="1">
        <f>14.0/$B2</f>
        <v/>
      </c>
      <c r="K2" s="1">
        <f>12.5/$B2</f>
        <v/>
      </c>
      <c r="L2" s="1">
        <f>10.0/$B2</f>
        <v/>
      </c>
    </row>
    <row r="3">
      <c r="A3" t="inlineStr">
        <is>
          <t>Mevr. P. van Beekhoven</t>
        </is>
      </c>
      <c r="B3" t="n">
        <v>36</v>
      </c>
      <c r="C3" s="1">
        <f>1.0/$B3</f>
        <v/>
      </c>
      <c r="D3" s="1">
        <f>12.25/$B3</f>
        <v/>
      </c>
      <c r="E3" s="1">
        <f>13.4/$B3</f>
        <v/>
      </c>
      <c r="F3" s="1">
        <f>14.16/$B3</f>
        <v/>
      </c>
      <c r="G3" s="1">
        <f>15.58/$B3</f>
        <v/>
      </c>
      <c r="H3" s="1">
        <f>14.25/$B3</f>
        <v/>
      </c>
      <c r="I3" s="1">
        <f>18.25/$B3</f>
        <v/>
      </c>
      <c r="J3" s="1">
        <f>16.0/$B3</f>
        <v/>
      </c>
      <c r="K3" s="1">
        <f>15.5/$B3</f>
        <v/>
      </c>
      <c r="L3" s="1">
        <f>14.0/$B3</f>
        <v/>
      </c>
    </row>
    <row r="4">
      <c r="A4" t="inlineStr">
        <is>
          <t>Mevr. M. Ramos</t>
        </is>
      </c>
      <c r="B4" t="n">
        <v>36</v>
      </c>
      <c r="C4" s="1">
        <f>4.0/$B4</f>
        <v/>
      </c>
      <c r="D4" s="1">
        <f>14.5/$B4</f>
        <v/>
      </c>
      <c r="E4" s="1">
        <f>14.25/$B4</f>
        <v/>
      </c>
      <c r="F4" s="1">
        <f>15.0/$B4</f>
        <v/>
      </c>
      <c r="G4" s="1">
        <f>16.5/$B4</f>
        <v/>
      </c>
      <c r="H4" s="1">
        <f>10.25/$B4</f>
        <v/>
      </c>
      <c r="I4" s="1">
        <f>1.5/$B4</f>
        <v/>
      </c>
      <c r="J4" s="1">
        <f>0/$B4</f>
        <v/>
      </c>
      <c r="K4" s="1">
        <f>0/$B4</f>
        <v/>
      </c>
      <c r="L4" s="1">
        <f>1.5/$B4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2026-03-06T21:15:59Z</dcterms:created>
  <dcterms:modified xmlns:dcterms="http://purl.org/dc/terms/" xmlns:xsi="http://www.w3.org/2001/XMLSchema-instance" xsi:type="dcterms:W3CDTF">2026-03-06T21:15:59Z</dcterms:modified>
</cp:coreProperties>
</file>